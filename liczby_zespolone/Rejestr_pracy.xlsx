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c\Desktop\Praca\project-tai\liczby_zespolone\"/>
    </mc:Choice>
  </mc:AlternateContent>
  <xr:revisionPtr revIDLastSave="0" documentId="13_ncr:1_{2A35DF85-53E6-4A3E-8122-976AD2A3CBA2}" xr6:coauthVersionLast="36" xr6:coauthVersionMax="47" xr10:uidLastSave="{00000000-0000-0000-0000-000000000000}"/>
  <bookViews>
    <workbookView xWindow="0" yWindow="0" windowWidth="17256" windowHeight="5556" activeTab="6" xr2:uid="{27F76C89-BD38-4F29-8844-D7C5C0A2FD74}"/>
  </bookViews>
  <sheets>
    <sheet name="03.02.26" sheetId="3" r:id="rId1"/>
    <sheet name="10.02.26" sheetId="2" r:id="rId2"/>
    <sheet name="03.03.26" sheetId="4" r:id="rId3"/>
    <sheet name="10.03.26" sheetId="5" r:id="rId4"/>
    <sheet name="17.03.26" sheetId="6" r:id="rId5"/>
    <sheet name="24.03.2026" sheetId="9" r:id="rId6"/>
    <sheet name="Podsumowanie " sheetId="7" r:id="rId7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5" i="9" l="1"/>
  <c r="G14" i="9"/>
  <c r="G13" i="9"/>
  <c r="G12" i="9"/>
  <c r="G11" i="9"/>
  <c r="G10" i="9"/>
  <c r="G9" i="9"/>
  <c r="G8" i="9"/>
  <c r="G7" i="9"/>
  <c r="G6" i="9"/>
  <c r="K6" i="9" l="1"/>
  <c r="C13" i="7"/>
  <c r="G15" i="2"/>
  <c r="G14" i="2"/>
  <c r="G13" i="2"/>
  <c r="G12" i="2"/>
  <c r="G11" i="2"/>
  <c r="G10" i="2"/>
  <c r="G9" i="2"/>
  <c r="G8" i="2"/>
  <c r="G7" i="2"/>
  <c r="G6" i="2"/>
  <c r="G15" i="3"/>
  <c r="G14" i="3"/>
  <c r="G13" i="3"/>
  <c r="G12" i="3"/>
  <c r="G11" i="3"/>
  <c r="G10" i="3"/>
  <c r="G9" i="3"/>
  <c r="G8" i="3"/>
  <c r="G7" i="3"/>
  <c r="G6" i="3"/>
  <c r="G14" i="6" l="1"/>
  <c r="G13" i="6"/>
  <c r="G12" i="6"/>
  <c r="G11" i="6"/>
  <c r="G10" i="6"/>
  <c r="G9" i="6"/>
  <c r="G8" i="6"/>
  <c r="G7" i="6"/>
  <c r="G6" i="6"/>
  <c r="K6" i="6" l="1"/>
  <c r="G15" i="5"/>
  <c r="G14" i="5"/>
  <c r="G13" i="5"/>
  <c r="G12" i="5"/>
  <c r="G11" i="5"/>
  <c r="G10" i="5"/>
  <c r="G9" i="5"/>
  <c r="G8" i="5"/>
  <c r="G7" i="5"/>
  <c r="G6" i="5"/>
  <c r="G15" i="4"/>
  <c r="G14" i="4"/>
  <c r="G13" i="4"/>
  <c r="G12" i="4"/>
  <c r="G11" i="4"/>
  <c r="G10" i="4"/>
  <c r="G9" i="4"/>
  <c r="G8" i="4"/>
  <c r="G7" i="4"/>
  <c r="G6" i="4"/>
  <c r="K6" i="3"/>
  <c r="K6" i="4" l="1"/>
  <c r="K6" i="5"/>
  <c r="K6" i="2"/>
</calcChain>
</file>

<file path=xl/sharedStrings.xml><?xml version="1.0" encoding="utf-8"?>
<sst xmlns="http://schemas.openxmlformats.org/spreadsheetml/2006/main" count="132" uniqueCount="52">
  <si>
    <t>Rejestracja Czasu Pracy</t>
  </si>
  <si>
    <t xml:space="preserve">Wtorek - 03.02.26 </t>
  </si>
  <si>
    <t xml:space="preserve">lp </t>
  </si>
  <si>
    <t>rodzaj pracy</t>
  </si>
  <si>
    <t xml:space="preserve">czynność  </t>
  </si>
  <si>
    <t xml:space="preserve">początek </t>
  </si>
  <si>
    <t xml:space="preserve">koniec </t>
  </si>
  <si>
    <t xml:space="preserve">czas </t>
  </si>
  <si>
    <t xml:space="preserve">Łączna ilość przepracowanych godzin </t>
  </si>
  <si>
    <t>Szkolenie</t>
  </si>
  <si>
    <t>Zapoznanie się ze strukturą projektu w firmie informatycznej</t>
  </si>
  <si>
    <t>Razem:</t>
  </si>
  <si>
    <t>Analiza i omówienie struktury aplikacji</t>
  </si>
  <si>
    <t xml:space="preserve">Prace Techniczne </t>
  </si>
  <si>
    <t>Instalacja i konfiguracja środowiska pracy (GitHub)</t>
  </si>
  <si>
    <t>Przygotowanie rejestru czasu pracy</t>
  </si>
  <si>
    <t>Sklad grupy:</t>
  </si>
  <si>
    <t>Prace Organizacyjne</t>
  </si>
  <si>
    <t>Raportowanie i ewidencja czasu pracy nad projektem</t>
  </si>
  <si>
    <t>1. Igor Koziarski - Przewodniczcy grupy</t>
  </si>
  <si>
    <t>2. Piotr Jędrzejewski</t>
  </si>
  <si>
    <t>3. Michał Dominiak</t>
  </si>
  <si>
    <t>Role w grupie/przydzielone zadania:</t>
  </si>
  <si>
    <t>1. Igor Koziarski - Macierze</t>
  </si>
  <si>
    <t>2. Piotr Jędrzejewski - Całki</t>
  </si>
  <si>
    <t>3. Michał Dominiak - Liczby zespolone</t>
  </si>
  <si>
    <t xml:space="preserve">Wtorek - 10.02.26 </t>
  </si>
  <si>
    <t>Analiza Materiałów</t>
  </si>
  <si>
    <t>Zapoznanie się z działaniami na liczbach zespolonych</t>
  </si>
  <si>
    <t>Opracowanie</t>
  </si>
  <si>
    <t>Przygotowanie merytorycznego opracowania zagadnienia liczb zespolonych</t>
  </si>
  <si>
    <t>Przygotowanie opisu strony dotyczącej działań na liczbach zespolonych</t>
  </si>
  <si>
    <t>Tworzenie Strony</t>
  </si>
  <si>
    <t xml:space="preserve">Tworzenie strony internetowej - opis liczb zepolonych </t>
  </si>
  <si>
    <t>Programowanie</t>
  </si>
  <si>
    <t>Rozpoczęcie pisania kodu strony internetowej</t>
  </si>
  <si>
    <t xml:space="preserve">Wtorek - 03.03.26 </t>
  </si>
  <si>
    <t>Dalsze tworzenie strony internetowej</t>
  </si>
  <si>
    <t>Dopisywanie komentarzy do kodu strony internetowej</t>
  </si>
  <si>
    <t xml:space="preserve">Wtorek - 10.03.26 </t>
  </si>
  <si>
    <t>Tworzenie kodu CSS dla strony o liczbach zespolonych</t>
  </si>
  <si>
    <t xml:space="preserve">Wtorek - 17.03.26 </t>
  </si>
  <si>
    <t xml:space="preserve">Tydzień </t>
  </si>
  <si>
    <t>Ilość godzin</t>
  </si>
  <si>
    <t>Poprawki w opise strony dotyczącej działań na liczbach zespolonych</t>
  </si>
  <si>
    <t>Przygotowanie instrukcji obsługi programu do obliczeń na liczbach zespolonych</t>
  </si>
  <si>
    <t>Wymiana sprzętu</t>
  </si>
  <si>
    <t>Dokumentowanie oprogramowania</t>
  </si>
  <si>
    <t xml:space="preserve">Zmiana stanowiska pracy - konfiguracja laptopa </t>
  </si>
  <si>
    <t>Zakończenie tworzenia strony internetowej (wstępna wersja)</t>
  </si>
  <si>
    <t>Wprowadzanie poprawek w kodzie strony internetowej</t>
  </si>
  <si>
    <t xml:space="preserve">Programowanie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</si>
</sst>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3"/>
      <color rgb="FFEEF0FF"/>
      <name val="Arial"/>
      <family val="2"/>
      <charset val="238"/>
    </font>
    <font>
      <sz val="10"/>
      <color rgb="FF0A0A0A"/>
      <name val="Arial"/>
      <family val="2"/>
      <charset val="238"/>
    </font>
    <font>
      <sz val="11"/>
      <color rgb="FF9C0006"/>
      <name val="Calibri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7" fillId="7" borderId="0" applyNumberFormat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1" fillId="5" borderId="1" xfId="4" applyBorder="1" applyAlignment="1">
      <alignment vertical="center"/>
    </xf>
    <xf numFmtId="0" fontId="2" fillId="2" borderId="1" xfId="1" applyBorder="1" applyAlignment="1">
      <alignment vertical="center"/>
    </xf>
    <xf numFmtId="0" fontId="2" fillId="2" borderId="1" xfId="1" applyBorder="1"/>
    <xf numFmtId="0" fontId="3" fillId="3" borderId="1" xfId="2" applyBorder="1"/>
    <xf numFmtId="20" fontId="2" fillId="2" borderId="1" xfId="1" applyNumberFormat="1" applyBorder="1" applyAlignment="1">
      <alignment vertical="center"/>
    </xf>
    <xf numFmtId="20" fontId="2" fillId="2" borderId="1" xfId="1" applyNumberFormat="1" applyBorder="1"/>
    <xf numFmtId="0" fontId="5" fillId="0" borderId="0" xfId="0" applyFont="1"/>
    <xf numFmtId="0" fontId="0" fillId="0" borderId="0" xfId="0" applyAlignment="1">
      <alignment vertical="center" wrapText="1"/>
    </xf>
    <xf numFmtId="0" fontId="6" fillId="0" borderId="0" xfId="0" applyFont="1"/>
    <xf numFmtId="0" fontId="2" fillId="2" borderId="1" xfId="1" applyBorder="1" applyAlignment="1">
      <alignment horizontal="center"/>
    </xf>
    <xf numFmtId="0" fontId="1" fillId="5" borderId="1" xfId="4" applyBorder="1" applyAlignment="1">
      <alignment horizontal="center" vertical="center"/>
    </xf>
    <xf numFmtId="0" fontId="0" fillId="5" borderId="1" xfId="4" applyFont="1" applyBorder="1" applyAlignment="1">
      <alignment horizontal="center" vertical="center"/>
    </xf>
    <xf numFmtId="0" fontId="3" fillId="3" borderId="2" xfId="2" applyBorder="1" applyAlignment="1">
      <alignment horizontal="left" vertical="center"/>
    </xf>
    <xf numFmtId="0" fontId="3" fillId="3" borderId="3" xfId="2" applyBorder="1" applyAlignment="1">
      <alignment horizontal="left" vertical="center"/>
    </xf>
    <xf numFmtId="0" fontId="3" fillId="3" borderId="4" xfId="2" applyBorder="1" applyAlignment="1">
      <alignment horizontal="left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0" fillId="6" borderId="2" xfId="5" applyFont="1" applyBorder="1" applyAlignment="1">
      <alignment horizontal="center" vertical="center"/>
    </xf>
    <xf numFmtId="0" fontId="7" fillId="7" borderId="2" xfId="6" applyBorder="1" applyAlignment="1">
      <alignment horizontal="left" vertical="center"/>
    </xf>
    <xf numFmtId="0" fontId="7" fillId="7" borderId="3" xfId="6" applyBorder="1" applyAlignment="1">
      <alignment horizontal="left" vertical="center"/>
    </xf>
    <xf numFmtId="0" fontId="7" fillId="7" borderId="4" xfId="6" applyBorder="1" applyAlignment="1">
      <alignment horizontal="left" vertical="center"/>
    </xf>
    <xf numFmtId="20" fontId="3" fillId="3" borderId="1" xfId="2" applyNumberFormat="1" applyBorder="1" applyAlignment="1">
      <alignment horizontal="center"/>
    </xf>
    <xf numFmtId="0" fontId="3" fillId="3" borderId="1" xfId="2" applyBorder="1" applyAlignment="1">
      <alignment horizontal="center"/>
    </xf>
    <xf numFmtId="0" fontId="4" fillId="4" borderId="1" xfId="3" applyBorder="1" applyAlignment="1">
      <alignment horizontal="center" vertical="center"/>
    </xf>
    <xf numFmtId="0" fontId="0" fillId="6" borderId="1" xfId="5" applyFont="1" applyBorder="1" applyAlignment="1">
      <alignment horizontal="center" vertical="center"/>
    </xf>
    <xf numFmtId="0" fontId="1" fillId="6" borderId="1" xfId="5" applyBorder="1" applyAlignment="1">
      <alignment horizontal="center" vertical="center"/>
    </xf>
    <xf numFmtId="0" fontId="1" fillId="5" borderId="1" xfId="4" applyBorder="1" applyAlignment="1">
      <alignment horizontal="center" vertical="center"/>
    </xf>
    <xf numFmtId="0" fontId="0" fillId="5" borderId="1" xfId="4" applyFont="1" applyBorder="1" applyAlignment="1">
      <alignment horizontal="center" vertical="center"/>
    </xf>
    <xf numFmtId="0" fontId="2" fillId="2" borderId="1" xfId="1" applyNumberFormat="1" applyBorder="1" applyAlignment="1">
      <alignment horizontal="center"/>
    </xf>
    <xf numFmtId="20" fontId="2" fillId="2" borderId="2" xfId="7" applyNumberFormat="1" applyFont="1" applyFill="1" applyBorder="1" applyAlignment="1">
      <alignment horizontal="center"/>
    </xf>
    <xf numFmtId="20" fontId="2" fillId="2" borderId="3" xfId="7" applyNumberFormat="1" applyFont="1" applyFill="1" applyBorder="1" applyAlignment="1">
      <alignment horizontal="center"/>
    </xf>
    <xf numFmtId="20" fontId="2" fillId="2" borderId="4" xfId="7" applyNumberFormat="1" applyFont="1" applyFill="1" applyBorder="1" applyAlignment="1">
      <alignment horizontal="center"/>
    </xf>
    <xf numFmtId="20" fontId="2" fillId="2" borderId="2" xfId="1" applyNumberFormat="1" applyBorder="1" applyAlignment="1">
      <alignment horizontal="center"/>
    </xf>
    <xf numFmtId="20" fontId="2" fillId="2" borderId="3" xfId="1" applyNumberFormat="1" applyBorder="1" applyAlignment="1">
      <alignment horizontal="center"/>
    </xf>
    <xf numFmtId="20" fontId="2" fillId="2" borderId="4" xfId="1" applyNumberFormat="1" applyBorder="1" applyAlignment="1">
      <alignment horizontal="center"/>
    </xf>
  </cellXfs>
  <cellStyles count="8">
    <cellStyle name="40% — akcent 1" xfId="4" builtinId="31"/>
    <cellStyle name="60% — akcent 1" xfId="5" builtinId="32"/>
    <cellStyle name="Akcent 1" xfId="3" builtinId="29"/>
    <cellStyle name="Dobry" xfId="1" builtinId="26"/>
    <cellStyle name="Neutralny" xfId="2" builtinId="28"/>
    <cellStyle name="Normalny" xfId="0" builtinId="0"/>
    <cellStyle name="Procentowy" xfId="7" builtinId="5"/>
    <cellStyle name="Zły" xfId="6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DC33-EBEC-4945-A41C-62EA65489235}">
  <dimension ref="B2:O20"/>
  <sheetViews>
    <sheetView workbookViewId="0">
      <selection activeCell="C8" sqref="C8"/>
    </sheetView>
  </sheetViews>
  <sheetFormatPr defaultRowHeight="14.4" x14ac:dyDescent="0.3"/>
  <cols>
    <col min="3" max="3" width="27.6640625" customWidth="1"/>
    <col min="4" max="4" width="56.109375" customWidth="1"/>
  </cols>
  <sheetData>
    <row r="2" spans="2:15" x14ac:dyDescent="0.3">
      <c r="B2" s="25" t="s">
        <v>0</v>
      </c>
      <c r="C2" s="25"/>
      <c r="D2" s="25"/>
      <c r="E2" s="25"/>
      <c r="F2" s="25"/>
      <c r="G2" s="25"/>
      <c r="J2" s="25" t="s">
        <v>0</v>
      </c>
      <c r="K2" s="25"/>
      <c r="L2" s="25"/>
      <c r="M2" s="25"/>
      <c r="N2" s="25"/>
      <c r="O2" s="25"/>
    </row>
    <row r="3" spans="2:15" x14ac:dyDescent="0.3">
      <c r="B3" s="26" t="s">
        <v>1</v>
      </c>
      <c r="C3" s="27"/>
      <c r="D3" s="27"/>
      <c r="E3" s="27"/>
      <c r="F3" s="27"/>
      <c r="G3" s="27"/>
      <c r="J3" s="26" t="s">
        <v>1</v>
      </c>
      <c r="K3" s="27"/>
      <c r="L3" s="27"/>
      <c r="M3" s="27"/>
      <c r="N3" s="27"/>
      <c r="O3" s="27"/>
    </row>
    <row r="4" spans="2:15" x14ac:dyDescent="0.3">
      <c r="B4" s="27"/>
      <c r="C4" s="27"/>
      <c r="D4" s="27"/>
      <c r="E4" s="27"/>
      <c r="F4" s="27"/>
      <c r="G4" s="27"/>
      <c r="J4" s="27"/>
      <c r="K4" s="27"/>
      <c r="L4" s="27"/>
      <c r="M4" s="27"/>
      <c r="N4" s="27"/>
      <c r="O4" s="27"/>
    </row>
    <row r="5" spans="2:15" x14ac:dyDescent="0.3"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J5" s="28" t="s">
        <v>8</v>
      </c>
      <c r="K5" s="28"/>
      <c r="L5" s="28"/>
      <c r="M5" s="28"/>
      <c r="N5" s="28"/>
      <c r="O5" s="28"/>
    </row>
    <row r="6" spans="2:15" x14ac:dyDescent="0.3">
      <c r="B6" s="2">
        <v>1</v>
      </c>
      <c r="C6" s="2" t="s">
        <v>9</v>
      </c>
      <c r="D6" s="2" t="s">
        <v>10</v>
      </c>
      <c r="E6" s="5">
        <v>0.30208333333333331</v>
      </c>
      <c r="F6" s="5">
        <v>0.3298611111111111</v>
      </c>
      <c r="G6" s="5">
        <f>F6-E6</f>
        <v>2.777777777777779E-2</v>
      </c>
      <c r="J6" s="4" t="s">
        <v>11</v>
      </c>
      <c r="K6" s="23">
        <f>SUM(G6:G15)</f>
        <v>0.12500000000000006</v>
      </c>
      <c r="L6" s="24"/>
      <c r="M6" s="24"/>
      <c r="N6" s="24"/>
      <c r="O6" s="24"/>
    </row>
    <row r="7" spans="2:15" x14ac:dyDescent="0.3">
      <c r="B7" s="2">
        <v>2</v>
      </c>
      <c r="C7" s="2" t="s">
        <v>9</v>
      </c>
      <c r="D7" s="2" t="s">
        <v>12</v>
      </c>
      <c r="E7" s="5">
        <v>0.33333333333333331</v>
      </c>
      <c r="F7" s="5">
        <v>0.35416666666666669</v>
      </c>
      <c r="G7" s="5">
        <f t="shared" ref="G7:G15" si="0">F7-E7</f>
        <v>2.083333333333337E-2</v>
      </c>
    </row>
    <row r="8" spans="2:15" x14ac:dyDescent="0.3">
      <c r="B8" s="2">
        <v>3</v>
      </c>
      <c r="C8" s="2" t="s">
        <v>13</v>
      </c>
      <c r="D8" s="2" t="s">
        <v>14</v>
      </c>
      <c r="E8" s="5">
        <v>0.3611111111111111</v>
      </c>
      <c r="F8" s="5">
        <v>0.41666666666666669</v>
      </c>
      <c r="G8" s="5">
        <f t="shared" si="0"/>
        <v>5.555555555555558E-2</v>
      </c>
    </row>
    <row r="9" spans="2:15" x14ac:dyDescent="0.3">
      <c r="B9" s="2">
        <v>4</v>
      </c>
      <c r="C9" s="2" t="s">
        <v>13</v>
      </c>
      <c r="D9" s="2" t="s">
        <v>15</v>
      </c>
      <c r="E9" s="5">
        <v>0.41666666666666669</v>
      </c>
      <c r="F9" s="5">
        <v>0.42708333333333331</v>
      </c>
      <c r="G9" s="5">
        <f t="shared" si="0"/>
        <v>1.041666666666663E-2</v>
      </c>
      <c r="J9" s="19" t="s">
        <v>16</v>
      </c>
      <c r="K9" s="17"/>
      <c r="L9" s="17"/>
      <c r="M9" s="18"/>
    </row>
    <row r="10" spans="2:15" x14ac:dyDescent="0.3">
      <c r="B10" s="2">
        <v>5</v>
      </c>
      <c r="C10" s="2" t="s">
        <v>17</v>
      </c>
      <c r="D10" s="2" t="s">
        <v>18</v>
      </c>
      <c r="E10" s="5">
        <v>0.42708333333333331</v>
      </c>
      <c r="F10" s="5">
        <v>0.4375</v>
      </c>
      <c r="G10" s="5">
        <f t="shared" si="0"/>
        <v>1.0416666666666685E-2</v>
      </c>
      <c r="J10" s="13" t="s">
        <v>19</v>
      </c>
      <c r="K10" s="14"/>
      <c r="L10" s="14"/>
      <c r="M10" s="15"/>
    </row>
    <row r="11" spans="2:15" x14ac:dyDescent="0.3">
      <c r="B11" s="2">
        <v>6</v>
      </c>
      <c r="C11" s="2"/>
      <c r="D11" s="2"/>
      <c r="E11" s="5"/>
      <c r="F11" s="5"/>
      <c r="G11" s="5">
        <f t="shared" si="0"/>
        <v>0</v>
      </c>
      <c r="J11" s="13" t="s">
        <v>20</v>
      </c>
      <c r="K11" s="14"/>
      <c r="L11" s="14"/>
      <c r="M11" s="15"/>
    </row>
    <row r="12" spans="2:15" x14ac:dyDescent="0.3">
      <c r="B12" s="2">
        <v>7</v>
      </c>
      <c r="C12" s="2"/>
      <c r="D12" s="2"/>
      <c r="E12" s="5"/>
      <c r="F12" s="5"/>
      <c r="G12" s="5">
        <f t="shared" si="0"/>
        <v>0</v>
      </c>
      <c r="J12" s="13" t="s">
        <v>21</v>
      </c>
      <c r="K12" s="14"/>
      <c r="L12" s="14"/>
      <c r="M12" s="15"/>
    </row>
    <row r="13" spans="2:15" x14ac:dyDescent="0.3">
      <c r="B13" s="2">
        <v>8</v>
      </c>
      <c r="C13" s="3"/>
      <c r="D13" s="3"/>
      <c r="E13" s="6"/>
      <c r="F13" s="6"/>
      <c r="G13" s="5">
        <f t="shared" si="0"/>
        <v>0</v>
      </c>
      <c r="J13" s="20"/>
      <c r="K13" s="21"/>
      <c r="L13" s="21"/>
      <c r="M13" s="22"/>
    </row>
    <row r="14" spans="2:15" x14ac:dyDescent="0.3">
      <c r="B14" s="2">
        <v>9</v>
      </c>
      <c r="C14" s="3"/>
      <c r="D14" s="3"/>
      <c r="E14" s="6"/>
      <c r="F14" s="6"/>
      <c r="G14" s="5">
        <f t="shared" si="0"/>
        <v>0</v>
      </c>
      <c r="J14" s="16" t="s">
        <v>22</v>
      </c>
      <c r="K14" s="17"/>
      <c r="L14" s="17"/>
      <c r="M14" s="18"/>
    </row>
    <row r="15" spans="2:15" x14ac:dyDescent="0.3">
      <c r="B15" s="2">
        <v>10</v>
      </c>
      <c r="C15" s="3"/>
      <c r="D15" s="3"/>
      <c r="E15" s="6"/>
      <c r="F15" s="6"/>
      <c r="G15" s="5">
        <f t="shared" si="0"/>
        <v>0</v>
      </c>
      <c r="J15" s="13" t="s">
        <v>23</v>
      </c>
      <c r="K15" s="14"/>
      <c r="L15" s="14"/>
      <c r="M15" s="15"/>
    </row>
    <row r="16" spans="2:15" x14ac:dyDescent="0.3">
      <c r="J16" s="13" t="s">
        <v>24</v>
      </c>
      <c r="K16" s="14"/>
      <c r="L16" s="14"/>
      <c r="M16" s="15"/>
    </row>
    <row r="17" spans="3:13" x14ac:dyDescent="0.3">
      <c r="J17" s="13" t="s">
        <v>25</v>
      </c>
      <c r="K17" s="14"/>
      <c r="L17" s="14"/>
      <c r="M17" s="15"/>
    </row>
    <row r="20" spans="3:13" ht="16.8" x14ac:dyDescent="0.3">
      <c r="C20" s="7"/>
      <c r="D20" s="7"/>
    </row>
  </sheetData>
  <mergeCells count="15">
    <mergeCell ref="B2:G2"/>
    <mergeCell ref="J2:O2"/>
    <mergeCell ref="B3:G4"/>
    <mergeCell ref="J3:O4"/>
    <mergeCell ref="J5:O5"/>
    <mergeCell ref="J9:M9"/>
    <mergeCell ref="J13:M13"/>
    <mergeCell ref="J15:M15"/>
    <mergeCell ref="J16:M16"/>
    <mergeCell ref="K6:O6"/>
    <mergeCell ref="J17:M17"/>
    <mergeCell ref="J10:M10"/>
    <mergeCell ref="J11:M11"/>
    <mergeCell ref="J12:M12"/>
    <mergeCell ref="J14:M1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B57ED-B621-416A-BB85-E4DD9FA6CD0F}">
  <dimension ref="B2:O19"/>
  <sheetViews>
    <sheetView workbookViewId="0">
      <selection activeCell="D8" sqref="D8"/>
    </sheetView>
  </sheetViews>
  <sheetFormatPr defaultRowHeight="14.4" x14ac:dyDescent="0.3"/>
  <cols>
    <col min="3" max="3" width="24.5546875" customWidth="1"/>
    <col min="4" max="4" width="69.5546875" customWidth="1"/>
    <col min="5" max="5" width="10.44140625" customWidth="1"/>
    <col min="6" max="6" width="10.6640625" customWidth="1"/>
    <col min="7" max="7" width="9.6640625" customWidth="1"/>
    <col min="11" max="11" width="9.109375" bestFit="1" customWidth="1"/>
  </cols>
  <sheetData>
    <row r="2" spans="2:15" x14ac:dyDescent="0.3">
      <c r="B2" s="25" t="s">
        <v>0</v>
      </c>
      <c r="C2" s="25"/>
      <c r="D2" s="25"/>
      <c r="E2" s="25"/>
      <c r="F2" s="25"/>
      <c r="G2" s="25"/>
      <c r="J2" s="25" t="s">
        <v>0</v>
      </c>
      <c r="K2" s="25"/>
      <c r="L2" s="25"/>
      <c r="M2" s="25"/>
      <c r="N2" s="25"/>
      <c r="O2" s="25"/>
    </row>
    <row r="3" spans="2:15" x14ac:dyDescent="0.3">
      <c r="B3" s="26" t="s">
        <v>26</v>
      </c>
      <c r="C3" s="27"/>
      <c r="D3" s="27"/>
      <c r="E3" s="27"/>
      <c r="F3" s="27"/>
      <c r="G3" s="27"/>
      <c r="J3" s="26" t="s">
        <v>26</v>
      </c>
      <c r="K3" s="27"/>
      <c r="L3" s="27"/>
      <c r="M3" s="27"/>
      <c r="N3" s="27"/>
      <c r="O3" s="27"/>
    </row>
    <row r="4" spans="2:15" x14ac:dyDescent="0.3">
      <c r="B4" s="27"/>
      <c r="C4" s="27"/>
      <c r="D4" s="27"/>
      <c r="E4" s="27"/>
      <c r="F4" s="27"/>
      <c r="G4" s="27"/>
      <c r="J4" s="27"/>
      <c r="K4" s="27"/>
      <c r="L4" s="27"/>
      <c r="M4" s="27"/>
      <c r="N4" s="27"/>
      <c r="O4" s="27"/>
    </row>
    <row r="5" spans="2:15" x14ac:dyDescent="0.3"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J5" s="28" t="s">
        <v>8</v>
      </c>
      <c r="K5" s="28"/>
      <c r="L5" s="28"/>
      <c r="M5" s="28"/>
      <c r="N5" s="28"/>
      <c r="O5" s="28"/>
    </row>
    <row r="6" spans="2:15" x14ac:dyDescent="0.3">
      <c r="B6" s="2">
        <v>1</v>
      </c>
      <c r="C6" s="2" t="s">
        <v>27</v>
      </c>
      <c r="D6" s="2" t="s">
        <v>28</v>
      </c>
      <c r="E6" s="5">
        <v>0.30208333333333331</v>
      </c>
      <c r="F6" s="5">
        <v>0.32291666666666669</v>
      </c>
      <c r="G6" s="5">
        <f>F6-E6</f>
        <v>2.083333333333337E-2</v>
      </c>
      <c r="J6" s="4" t="s">
        <v>11</v>
      </c>
      <c r="K6" s="23">
        <f>SUM(G6:G15)</f>
        <v>0.12152777777777785</v>
      </c>
      <c r="L6" s="24"/>
      <c r="M6" s="24"/>
      <c r="N6" s="24"/>
      <c r="O6" s="24"/>
    </row>
    <row r="7" spans="2:15" x14ac:dyDescent="0.3">
      <c r="B7" s="2">
        <v>2</v>
      </c>
      <c r="C7" s="2" t="s">
        <v>29</v>
      </c>
      <c r="D7" s="2" t="s">
        <v>30</v>
      </c>
      <c r="E7" s="5">
        <v>0.32291666666666669</v>
      </c>
      <c r="F7" s="5">
        <v>0.34027777777777773</v>
      </c>
      <c r="G7" s="5">
        <f t="shared" ref="G7:G15" si="0">F7-E7</f>
        <v>1.7361111111111049E-2</v>
      </c>
    </row>
    <row r="8" spans="2:15" x14ac:dyDescent="0.3">
      <c r="B8" s="2">
        <v>3</v>
      </c>
      <c r="C8" s="2" t="s">
        <v>29</v>
      </c>
      <c r="D8" s="2" t="s">
        <v>31</v>
      </c>
      <c r="E8" s="5">
        <v>0.34027777777777773</v>
      </c>
      <c r="F8" s="5">
        <v>0.36458333333333331</v>
      </c>
      <c r="G8" s="5">
        <f t="shared" si="0"/>
        <v>2.430555555555558E-2</v>
      </c>
    </row>
    <row r="9" spans="2:15" x14ac:dyDescent="0.3">
      <c r="B9" s="2">
        <v>4</v>
      </c>
      <c r="C9" s="2" t="s">
        <v>32</v>
      </c>
      <c r="D9" s="2" t="s">
        <v>33</v>
      </c>
      <c r="E9" s="5">
        <v>0.37152777777777773</v>
      </c>
      <c r="F9" s="5">
        <v>0.40625</v>
      </c>
      <c r="G9" s="5">
        <f t="shared" si="0"/>
        <v>3.4722222222222265E-2</v>
      </c>
    </row>
    <row r="10" spans="2:15" x14ac:dyDescent="0.3">
      <c r="B10" s="2">
        <v>5</v>
      </c>
      <c r="C10" s="2" t="s">
        <v>34</v>
      </c>
      <c r="D10" s="2" t="s">
        <v>35</v>
      </c>
      <c r="E10" s="5">
        <v>0.41319444444444442</v>
      </c>
      <c r="F10" s="5">
        <v>0.43055555555555558</v>
      </c>
      <c r="G10" s="5">
        <f t="shared" si="0"/>
        <v>1.736111111111116E-2</v>
      </c>
    </row>
    <row r="11" spans="2:15" x14ac:dyDescent="0.3">
      <c r="B11" s="2">
        <v>6</v>
      </c>
      <c r="C11" s="2" t="s">
        <v>17</v>
      </c>
      <c r="D11" s="2" t="s">
        <v>18</v>
      </c>
      <c r="E11" s="5">
        <v>0.43055555555555558</v>
      </c>
      <c r="F11" s="5">
        <v>0.4375</v>
      </c>
      <c r="G11" s="5">
        <f t="shared" si="0"/>
        <v>6.9444444444444198E-3</v>
      </c>
    </row>
    <row r="12" spans="2:15" x14ac:dyDescent="0.3">
      <c r="B12" s="2">
        <v>7</v>
      </c>
      <c r="C12" s="2"/>
      <c r="D12" s="2"/>
      <c r="E12" s="5"/>
      <c r="F12" s="5"/>
      <c r="G12" s="5">
        <f t="shared" si="0"/>
        <v>0</v>
      </c>
    </row>
    <row r="13" spans="2:15" x14ac:dyDescent="0.3">
      <c r="B13" s="2">
        <v>8</v>
      </c>
      <c r="C13" s="3"/>
      <c r="D13" s="3"/>
      <c r="E13" s="6"/>
      <c r="F13" s="6"/>
      <c r="G13" s="5">
        <f t="shared" si="0"/>
        <v>0</v>
      </c>
    </row>
    <row r="14" spans="2:15" x14ac:dyDescent="0.3">
      <c r="B14" s="2">
        <v>9</v>
      </c>
      <c r="C14" s="3"/>
      <c r="D14" s="3"/>
      <c r="E14" s="6"/>
      <c r="F14" s="6"/>
      <c r="G14" s="5">
        <f t="shared" si="0"/>
        <v>0</v>
      </c>
    </row>
    <row r="15" spans="2:15" x14ac:dyDescent="0.3">
      <c r="B15" s="2">
        <v>10</v>
      </c>
      <c r="C15" s="3"/>
      <c r="D15" s="3"/>
      <c r="E15" s="6"/>
      <c r="F15" s="6"/>
      <c r="G15" s="5">
        <f t="shared" si="0"/>
        <v>0</v>
      </c>
    </row>
    <row r="17" spans="4:4" x14ac:dyDescent="0.3">
      <c r="D17" s="9"/>
    </row>
    <row r="18" spans="4:4" x14ac:dyDescent="0.3">
      <c r="D18" s="8"/>
    </row>
    <row r="19" spans="4:4" x14ac:dyDescent="0.3">
      <c r="D19" s="8"/>
    </row>
  </sheetData>
  <mergeCells count="6">
    <mergeCell ref="J2:O2"/>
    <mergeCell ref="J3:O4"/>
    <mergeCell ref="J5:O5"/>
    <mergeCell ref="K6:O6"/>
    <mergeCell ref="B2:G2"/>
    <mergeCell ref="B3:G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2FCA-C597-4B51-8564-3E9AA1B095D8}">
  <dimension ref="B2:O15"/>
  <sheetViews>
    <sheetView workbookViewId="0">
      <selection activeCell="D6" sqref="D6"/>
    </sheetView>
  </sheetViews>
  <sheetFormatPr defaultRowHeight="14.4" x14ac:dyDescent="0.3"/>
  <cols>
    <col min="3" max="3" width="22.5546875" customWidth="1"/>
    <col min="4" max="4" width="55.109375" customWidth="1"/>
    <col min="5" max="5" width="10.88671875" customWidth="1"/>
  </cols>
  <sheetData>
    <row r="2" spans="2:15" x14ac:dyDescent="0.3">
      <c r="B2" s="25" t="s">
        <v>0</v>
      </c>
      <c r="C2" s="25"/>
      <c r="D2" s="25"/>
      <c r="E2" s="25"/>
      <c r="F2" s="25"/>
      <c r="G2" s="25"/>
      <c r="J2" s="25" t="s">
        <v>0</v>
      </c>
      <c r="K2" s="25"/>
      <c r="L2" s="25"/>
      <c r="M2" s="25"/>
      <c r="N2" s="25"/>
      <c r="O2" s="25"/>
    </row>
    <row r="3" spans="2:15" x14ac:dyDescent="0.3">
      <c r="B3" s="26" t="s">
        <v>36</v>
      </c>
      <c r="C3" s="27"/>
      <c r="D3" s="27"/>
      <c r="E3" s="27"/>
      <c r="F3" s="27"/>
      <c r="G3" s="27"/>
      <c r="J3" s="26" t="s">
        <v>36</v>
      </c>
      <c r="K3" s="27"/>
      <c r="L3" s="27"/>
      <c r="M3" s="27"/>
      <c r="N3" s="27"/>
      <c r="O3" s="27"/>
    </row>
    <row r="4" spans="2:15" x14ac:dyDescent="0.3">
      <c r="B4" s="27"/>
      <c r="C4" s="27"/>
      <c r="D4" s="27"/>
      <c r="E4" s="27"/>
      <c r="F4" s="27"/>
      <c r="G4" s="27"/>
      <c r="J4" s="27"/>
      <c r="K4" s="27"/>
      <c r="L4" s="27"/>
      <c r="M4" s="27"/>
      <c r="N4" s="27"/>
      <c r="O4" s="27"/>
    </row>
    <row r="5" spans="2:15" x14ac:dyDescent="0.3">
      <c r="B5" s="11" t="s">
        <v>2</v>
      </c>
      <c r="C5" s="11" t="s">
        <v>3</v>
      </c>
      <c r="D5" s="11" t="s">
        <v>4</v>
      </c>
      <c r="E5" s="11" t="s">
        <v>5</v>
      </c>
      <c r="F5" s="11" t="s">
        <v>6</v>
      </c>
      <c r="G5" s="11" t="s">
        <v>7</v>
      </c>
      <c r="J5" s="28" t="s">
        <v>8</v>
      </c>
      <c r="K5" s="28"/>
      <c r="L5" s="28"/>
      <c r="M5" s="28"/>
      <c r="N5" s="28"/>
      <c r="O5" s="28"/>
    </row>
    <row r="6" spans="2:15" x14ac:dyDescent="0.3">
      <c r="B6" s="2">
        <v>1</v>
      </c>
      <c r="C6" s="2" t="s">
        <v>34</v>
      </c>
      <c r="D6" s="2" t="s">
        <v>37</v>
      </c>
      <c r="E6" s="5">
        <v>0.30208333333333331</v>
      </c>
      <c r="F6" s="5">
        <v>0.41666666666666669</v>
      </c>
      <c r="G6" s="5">
        <f>F6-E6</f>
        <v>0.11458333333333337</v>
      </c>
      <c r="J6" s="4" t="s">
        <v>11</v>
      </c>
      <c r="K6" s="23">
        <f>SUM(G6:G15)</f>
        <v>0.13541666666666669</v>
      </c>
      <c r="L6" s="24"/>
      <c r="M6" s="24"/>
      <c r="N6" s="24"/>
      <c r="O6" s="24"/>
    </row>
    <row r="7" spans="2:15" x14ac:dyDescent="0.3">
      <c r="B7" s="2">
        <v>2</v>
      </c>
      <c r="C7" s="2" t="s">
        <v>34</v>
      </c>
      <c r="D7" s="2" t="s">
        <v>38</v>
      </c>
      <c r="E7" s="5">
        <v>0.41666666666666669</v>
      </c>
      <c r="F7" s="5">
        <v>0.43055555555555558</v>
      </c>
      <c r="G7" s="5">
        <f t="shared" ref="G7:G15" si="0">F7-E7</f>
        <v>1.3888888888888895E-2</v>
      </c>
    </row>
    <row r="8" spans="2:15" x14ac:dyDescent="0.3">
      <c r="B8" s="2">
        <v>3</v>
      </c>
      <c r="C8" s="2" t="s">
        <v>17</v>
      </c>
      <c r="D8" s="2" t="s">
        <v>18</v>
      </c>
      <c r="E8" s="5">
        <v>0.43055555555555558</v>
      </c>
      <c r="F8" s="5">
        <v>0.4375</v>
      </c>
      <c r="G8" s="5">
        <f t="shared" si="0"/>
        <v>6.9444444444444198E-3</v>
      </c>
    </row>
    <row r="9" spans="2:15" x14ac:dyDescent="0.3">
      <c r="B9" s="2">
        <v>4</v>
      </c>
      <c r="C9" s="2"/>
      <c r="D9" s="2"/>
      <c r="E9" s="5"/>
      <c r="F9" s="5"/>
      <c r="G9" s="5">
        <f t="shared" si="0"/>
        <v>0</v>
      </c>
    </row>
    <row r="10" spans="2:15" x14ac:dyDescent="0.3">
      <c r="B10" s="2">
        <v>5</v>
      </c>
      <c r="C10" s="2"/>
      <c r="D10" s="2"/>
      <c r="E10" s="5"/>
      <c r="F10" s="5"/>
      <c r="G10" s="5">
        <f t="shared" si="0"/>
        <v>0</v>
      </c>
    </row>
    <row r="11" spans="2:15" x14ac:dyDescent="0.3">
      <c r="B11" s="2">
        <v>6</v>
      </c>
      <c r="C11" s="2"/>
      <c r="D11" s="2"/>
      <c r="E11" s="5"/>
      <c r="F11" s="5"/>
      <c r="G11" s="5">
        <f t="shared" si="0"/>
        <v>0</v>
      </c>
    </row>
    <row r="12" spans="2:15" x14ac:dyDescent="0.3">
      <c r="B12" s="2">
        <v>7</v>
      </c>
      <c r="C12" s="2"/>
      <c r="D12" s="2"/>
      <c r="E12" s="5"/>
      <c r="F12" s="5"/>
      <c r="G12" s="5">
        <f t="shared" si="0"/>
        <v>0</v>
      </c>
    </row>
    <row r="13" spans="2:15" x14ac:dyDescent="0.3">
      <c r="B13" s="2">
        <v>8</v>
      </c>
      <c r="C13" s="3"/>
      <c r="D13" s="3"/>
      <c r="E13" s="6"/>
      <c r="F13" s="6"/>
      <c r="G13" s="5">
        <f t="shared" si="0"/>
        <v>0</v>
      </c>
    </row>
    <row r="14" spans="2:15" x14ac:dyDescent="0.3">
      <c r="B14" s="2">
        <v>9</v>
      </c>
      <c r="C14" s="3"/>
      <c r="D14" s="3"/>
      <c r="E14" s="6"/>
      <c r="F14" s="6"/>
      <c r="G14" s="5">
        <f t="shared" si="0"/>
        <v>0</v>
      </c>
    </row>
    <row r="15" spans="2:15" x14ac:dyDescent="0.3">
      <c r="B15" s="2">
        <v>10</v>
      </c>
      <c r="C15" s="3"/>
      <c r="D15" s="3"/>
      <c r="E15" s="6"/>
      <c r="F15" s="6"/>
      <c r="G15" s="5">
        <f t="shared" si="0"/>
        <v>0</v>
      </c>
    </row>
  </sheetData>
  <mergeCells count="6">
    <mergeCell ref="K6:O6"/>
    <mergeCell ref="B2:G2"/>
    <mergeCell ref="J2:O2"/>
    <mergeCell ref="B3:G4"/>
    <mergeCell ref="J3:O4"/>
    <mergeCell ref="J5:O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7365F-2E85-49C7-B021-5655983EB1A6}">
  <dimension ref="B2:O15"/>
  <sheetViews>
    <sheetView zoomScale="90" zoomScaleNormal="90" workbookViewId="0">
      <selection activeCell="C9" sqref="C9"/>
    </sheetView>
  </sheetViews>
  <sheetFormatPr defaultRowHeight="14.4" x14ac:dyDescent="0.3"/>
  <cols>
    <col min="3" max="3" width="23.88671875" customWidth="1"/>
    <col min="4" max="4" width="75.33203125" customWidth="1"/>
    <col min="8" max="8" width="4.44140625" customWidth="1"/>
    <col min="9" max="9" width="5.33203125" customWidth="1"/>
  </cols>
  <sheetData>
    <row r="2" spans="2:15" x14ac:dyDescent="0.3">
      <c r="B2" s="25" t="s">
        <v>0</v>
      </c>
      <c r="C2" s="25"/>
      <c r="D2" s="25"/>
      <c r="E2" s="25"/>
      <c r="F2" s="25"/>
      <c r="G2" s="25"/>
      <c r="J2" s="25" t="s">
        <v>0</v>
      </c>
      <c r="K2" s="25"/>
      <c r="L2" s="25"/>
      <c r="M2" s="25"/>
      <c r="N2" s="25"/>
      <c r="O2" s="25"/>
    </row>
    <row r="3" spans="2:15" x14ac:dyDescent="0.3">
      <c r="B3" s="26" t="s">
        <v>39</v>
      </c>
      <c r="C3" s="27"/>
      <c r="D3" s="27"/>
      <c r="E3" s="27"/>
      <c r="F3" s="27"/>
      <c r="G3" s="27"/>
      <c r="J3" s="26" t="s">
        <v>39</v>
      </c>
      <c r="K3" s="27"/>
      <c r="L3" s="27"/>
      <c r="M3" s="27"/>
      <c r="N3" s="27"/>
      <c r="O3" s="27"/>
    </row>
    <row r="4" spans="2:15" x14ac:dyDescent="0.3">
      <c r="B4" s="27"/>
      <c r="C4" s="27"/>
      <c r="D4" s="27"/>
      <c r="E4" s="27"/>
      <c r="F4" s="27"/>
      <c r="G4" s="27"/>
      <c r="J4" s="27"/>
      <c r="K4" s="27"/>
      <c r="L4" s="27"/>
      <c r="M4" s="27"/>
      <c r="N4" s="27"/>
      <c r="O4" s="27"/>
    </row>
    <row r="5" spans="2:15" x14ac:dyDescent="0.3">
      <c r="B5" s="11" t="s">
        <v>2</v>
      </c>
      <c r="C5" s="11" t="s">
        <v>3</v>
      </c>
      <c r="D5" s="11" t="s">
        <v>4</v>
      </c>
      <c r="E5" s="11" t="s">
        <v>5</v>
      </c>
      <c r="F5" s="12" t="s">
        <v>6</v>
      </c>
      <c r="G5" s="11" t="s">
        <v>7</v>
      </c>
      <c r="J5" s="28" t="s">
        <v>8</v>
      </c>
      <c r="K5" s="28"/>
      <c r="L5" s="28"/>
      <c r="M5" s="28"/>
      <c r="N5" s="28"/>
      <c r="O5" s="28"/>
    </row>
    <row r="6" spans="2:15" x14ac:dyDescent="0.3">
      <c r="B6" s="2">
        <v>1</v>
      </c>
      <c r="C6" s="2" t="s">
        <v>34</v>
      </c>
      <c r="D6" s="2" t="s">
        <v>49</v>
      </c>
      <c r="E6" s="5">
        <v>0.30208333333333331</v>
      </c>
      <c r="F6" s="5">
        <v>0.375</v>
      </c>
      <c r="G6" s="5">
        <f>F6-E6</f>
        <v>7.2916666666666685E-2</v>
      </c>
      <c r="J6" s="4" t="s">
        <v>11</v>
      </c>
      <c r="K6" s="23">
        <f>SUM(G6:G15)</f>
        <v>0.13541666666666669</v>
      </c>
      <c r="L6" s="24"/>
      <c r="M6" s="24"/>
      <c r="N6" s="24"/>
      <c r="O6" s="24"/>
    </row>
    <row r="7" spans="2:15" x14ac:dyDescent="0.3">
      <c r="B7" s="2">
        <v>2</v>
      </c>
      <c r="C7" s="2" t="s">
        <v>34</v>
      </c>
      <c r="D7" s="2" t="s">
        <v>40</v>
      </c>
      <c r="E7" s="5">
        <v>0.375</v>
      </c>
      <c r="F7" s="5">
        <v>0.4236111111111111</v>
      </c>
      <c r="G7" s="5">
        <f t="shared" ref="G7:G15" si="0">F7-E7</f>
        <v>4.8611111111111105E-2</v>
      </c>
    </row>
    <row r="8" spans="2:15" x14ac:dyDescent="0.3">
      <c r="B8" s="2">
        <v>3</v>
      </c>
      <c r="C8" s="2" t="s">
        <v>32</v>
      </c>
      <c r="D8" s="2" t="s">
        <v>44</v>
      </c>
      <c r="E8" s="5">
        <v>0.4236111111111111</v>
      </c>
      <c r="F8" s="5">
        <v>0.43055555555555558</v>
      </c>
      <c r="G8" s="5">
        <f t="shared" si="0"/>
        <v>6.9444444444444753E-3</v>
      </c>
    </row>
    <row r="9" spans="2:15" x14ac:dyDescent="0.3">
      <c r="B9" s="2">
        <v>4</v>
      </c>
      <c r="C9" s="2" t="s">
        <v>17</v>
      </c>
      <c r="D9" s="2" t="s">
        <v>18</v>
      </c>
      <c r="E9" s="5">
        <v>0.43055555555555558</v>
      </c>
      <c r="F9" s="5">
        <v>0.4375</v>
      </c>
      <c r="G9" s="5">
        <f t="shared" si="0"/>
        <v>6.9444444444444198E-3</v>
      </c>
    </row>
    <row r="10" spans="2:15" x14ac:dyDescent="0.3">
      <c r="B10" s="2">
        <v>5</v>
      </c>
      <c r="C10" s="2"/>
      <c r="D10" s="2"/>
      <c r="E10" s="5"/>
      <c r="F10" s="5"/>
      <c r="G10" s="5">
        <f t="shared" si="0"/>
        <v>0</v>
      </c>
    </row>
    <row r="11" spans="2:15" x14ac:dyDescent="0.3">
      <c r="B11" s="2">
        <v>6</v>
      </c>
      <c r="C11" s="2"/>
      <c r="D11" s="2"/>
      <c r="E11" s="5"/>
      <c r="F11" s="5"/>
      <c r="G11" s="5">
        <f t="shared" si="0"/>
        <v>0</v>
      </c>
    </row>
    <row r="12" spans="2:15" x14ac:dyDescent="0.3">
      <c r="B12" s="2">
        <v>7</v>
      </c>
      <c r="C12" s="2"/>
      <c r="D12" s="2"/>
      <c r="E12" s="5"/>
      <c r="F12" s="5"/>
      <c r="G12" s="5">
        <f t="shared" si="0"/>
        <v>0</v>
      </c>
    </row>
    <row r="13" spans="2:15" x14ac:dyDescent="0.3">
      <c r="B13" s="2">
        <v>8</v>
      </c>
      <c r="C13" s="3"/>
      <c r="D13" s="3"/>
      <c r="E13" s="6"/>
      <c r="F13" s="6"/>
      <c r="G13" s="5">
        <f t="shared" si="0"/>
        <v>0</v>
      </c>
    </row>
    <row r="14" spans="2:15" x14ac:dyDescent="0.3">
      <c r="B14" s="2">
        <v>9</v>
      </c>
      <c r="C14" s="3"/>
      <c r="D14" s="3"/>
      <c r="E14" s="6"/>
      <c r="F14" s="6"/>
      <c r="G14" s="5">
        <f t="shared" si="0"/>
        <v>0</v>
      </c>
    </row>
    <row r="15" spans="2:15" x14ac:dyDescent="0.3">
      <c r="B15" s="2">
        <v>10</v>
      </c>
      <c r="C15" s="3"/>
      <c r="D15" s="3"/>
      <c r="E15" s="6"/>
      <c r="F15" s="6"/>
      <c r="G15" s="5">
        <f t="shared" si="0"/>
        <v>0</v>
      </c>
    </row>
  </sheetData>
  <mergeCells count="6">
    <mergeCell ref="K6:O6"/>
    <mergeCell ref="B2:G2"/>
    <mergeCell ref="J2:O2"/>
    <mergeCell ref="B3:G4"/>
    <mergeCell ref="J3:O4"/>
    <mergeCell ref="J5:O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63C5-2009-48CD-BCA6-B2B22DB1D585}">
  <dimension ref="B2:O14"/>
  <sheetViews>
    <sheetView zoomScale="90" zoomScaleNormal="90" workbookViewId="0">
      <selection activeCell="E19" sqref="E19"/>
    </sheetView>
  </sheetViews>
  <sheetFormatPr defaultRowHeight="14.4" x14ac:dyDescent="0.3"/>
  <cols>
    <col min="3" max="3" width="31.77734375" customWidth="1"/>
    <col min="4" max="4" width="69.88671875" customWidth="1"/>
  </cols>
  <sheetData>
    <row r="2" spans="2:15" x14ac:dyDescent="0.3">
      <c r="B2" s="25" t="s">
        <v>0</v>
      </c>
      <c r="C2" s="25"/>
      <c r="D2" s="25"/>
      <c r="E2" s="25"/>
      <c r="F2" s="25"/>
      <c r="G2" s="25"/>
      <c r="J2" s="25" t="s">
        <v>0</v>
      </c>
      <c r="K2" s="25"/>
      <c r="L2" s="25"/>
      <c r="M2" s="25"/>
      <c r="N2" s="25"/>
      <c r="O2" s="25"/>
    </row>
    <row r="3" spans="2:15" x14ac:dyDescent="0.3">
      <c r="B3" s="26" t="s">
        <v>41</v>
      </c>
      <c r="C3" s="27"/>
      <c r="D3" s="27"/>
      <c r="E3" s="27"/>
      <c r="F3" s="27"/>
      <c r="G3" s="27"/>
      <c r="J3" s="26" t="s">
        <v>41</v>
      </c>
      <c r="K3" s="27"/>
      <c r="L3" s="27"/>
      <c r="M3" s="27"/>
      <c r="N3" s="27"/>
      <c r="O3" s="27"/>
    </row>
    <row r="4" spans="2:15" x14ac:dyDescent="0.3">
      <c r="B4" s="27"/>
      <c r="C4" s="27"/>
      <c r="D4" s="27"/>
      <c r="E4" s="27"/>
      <c r="F4" s="27"/>
      <c r="G4" s="27"/>
      <c r="J4" s="27"/>
      <c r="K4" s="27"/>
      <c r="L4" s="27"/>
      <c r="M4" s="27"/>
      <c r="N4" s="27"/>
      <c r="O4" s="27"/>
    </row>
    <row r="5" spans="2:15" x14ac:dyDescent="0.3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J5" s="28" t="s">
        <v>8</v>
      </c>
      <c r="K5" s="28"/>
      <c r="L5" s="28"/>
      <c r="M5" s="28"/>
      <c r="N5" s="28"/>
      <c r="O5" s="28"/>
    </row>
    <row r="6" spans="2:15" x14ac:dyDescent="0.3">
      <c r="B6" s="2">
        <v>1</v>
      </c>
      <c r="C6" s="2" t="s">
        <v>46</v>
      </c>
      <c r="D6" s="2" t="s">
        <v>48</v>
      </c>
      <c r="E6" s="5">
        <v>0.30555555555555552</v>
      </c>
      <c r="F6" s="5">
        <v>0.32291666666666669</v>
      </c>
      <c r="G6" s="5">
        <f>F6-E6</f>
        <v>1.736111111111116E-2</v>
      </c>
      <c r="J6" s="4" t="s">
        <v>11</v>
      </c>
      <c r="K6" s="23">
        <f>SUM(G6:G14)</f>
        <v>9.7222222222222265E-2</v>
      </c>
      <c r="L6" s="24"/>
      <c r="M6" s="24"/>
      <c r="N6" s="24"/>
      <c r="O6" s="24"/>
    </row>
    <row r="7" spans="2:15" x14ac:dyDescent="0.3">
      <c r="B7" s="2">
        <v>2</v>
      </c>
      <c r="C7" s="2" t="s">
        <v>13</v>
      </c>
      <c r="D7" s="2" t="s">
        <v>14</v>
      </c>
      <c r="E7" s="5">
        <v>0.3263888888888889</v>
      </c>
      <c r="F7" s="5">
        <v>0.34375</v>
      </c>
      <c r="G7" s="5">
        <f t="shared" ref="G7:G14" si="0">F7-E7</f>
        <v>1.7361111111111105E-2</v>
      </c>
    </row>
    <row r="8" spans="2:15" x14ac:dyDescent="0.3">
      <c r="B8" s="2">
        <v>3</v>
      </c>
      <c r="C8" s="2" t="s">
        <v>47</v>
      </c>
      <c r="D8" s="2" t="s">
        <v>45</v>
      </c>
      <c r="E8" s="5">
        <v>0.34375</v>
      </c>
      <c r="F8" s="5">
        <v>0.375</v>
      </c>
      <c r="G8" s="5">
        <f t="shared" si="0"/>
        <v>3.125E-2</v>
      </c>
    </row>
    <row r="9" spans="2:15" x14ac:dyDescent="0.3">
      <c r="B9" s="2">
        <v>4</v>
      </c>
      <c r="C9" s="2" t="s">
        <v>51</v>
      </c>
      <c r="D9" s="2" t="s">
        <v>50</v>
      </c>
      <c r="E9" s="5">
        <v>0.38194444444444442</v>
      </c>
      <c r="F9" s="5">
        <v>0.40625</v>
      </c>
      <c r="G9" s="5">
        <f t="shared" si="0"/>
        <v>2.430555555555558E-2</v>
      </c>
    </row>
    <row r="10" spans="2:15" x14ac:dyDescent="0.3">
      <c r="B10" s="2">
        <v>6</v>
      </c>
      <c r="C10" s="2" t="s">
        <v>17</v>
      </c>
      <c r="D10" s="2" t="s">
        <v>18</v>
      </c>
      <c r="E10" s="5">
        <v>0.43055555555555558</v>
      </c>
      <c r="F10" s="5">
        <v>0.4375</v>
      </c>
      <c r="G10" s="5">
        <f t="shared" si="0"/>
        <v>6.9444444444444198E-3</v>
      </c>
    </row>
    <row r="11" spans="2:15" x14ac:dyDescent="0.3">
      <c r="B11" s="2">
        <v>7</v>
      </c>
      <c r="C11" s="2"/>
      <c r="D11" s="2"/>
      <c r="E11" s="5"/>
      <c r="F11" s="5"/>
      <c r="G11" s="5">
        <f t="shared" si="0"/>
        <v>0</v>
      </c>
    </row>
    <row r="12" spans="2:15" x14ac:dyDescent="0.3">
      <c r="B12" s="2">
        <v>8</v>
      </c>
      <c r="C12" s="3"/>
      <c r="D12" s="3"/>
      <c r="E12" s="6"/>
      <c r="F12" s="6"/>
      <c r="G12" s="5">
        <f t="shared" si="0"/>
        <v>0</v>
      </c>
    </row>
    <row r="13" spans="2:15" x14ac:dyDescent="0.3">
      <c r="B13" s="2">
        <v>9</v>
      </c>
      <c r="C13" s="3"/>
      <c r="D13" s="3"/>
      <c r="E13" s="6"/>
      <c r="F13" s="6"/>
      <c r="G13" s="5">
        <f t="shared" si="0"/>
        <v>0</v>
      </c>
    </row>
    <row r="14" spans="2:15" x14ac:dyDescent="0.3">
      <c r="B14" s="2">
        <v>10</v>
      </c>
      <c r="C14" s="3"/>
      <c r="D14" s="3"/>
      <c r="E14" s="6"/>
      <c r="F14" s="6"/>
      <c r="G14" s="5">
        <f t="shared" si="0"/>
        <v>0</v>
      </c>
    </row>
  </sheetData>
  <mergeCells count="6">
    <mergeCell ref="K6:O6"/>
    <mergeCell ref="B2:G2"/>
    <mergeCell ref="J2:O2"/>
    <mergeCell ref="B3:G4"/>
    <mergeCell ref="J3:O4"/>
    <mergeCell ref="J5:O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4CAAA-1F5C-4F7B-B75F-63B05F782549}">
  <dimension ref="B2:O15"/>
  <sheetViews>
    <sheetView zoomScale="90" zoomScaleNormal="90" workbookViewId="0">
      <selection activeCell="C11" sqref="C11"/>
    </sheetView>
  </sheetViews>
  <sheetFormatPr defaultRowHeight="14.4" x14ac:dyDescent="0.3"/>
  <cols>
    <col min="3" max="3" width="31.77734375" customWidth="1"/>
    <col min="4" max="4" width="69.88671875" customWidth="1"/>
  </cols>
  <sheetData>
    <row r="2" spans="2:15" x14ac:dyDescent="0.3">
      <c r="B2" s="25" t="s">
        <v>0</v>
      </c>
      <c r="C2" s="25"/>
      <c r="D2" s="25"/>
      <c r="E2" s="25"/>
      <c r="F2" s="25"/>
      <c r="G2" s="25"/>
      <c r="J2" s="25" t="s">
        <v>0</v>
      </c>
      <c r="K2" s="25"/>
      <c r="L2" s="25"/>
      <c r="M2" s="25"/>
      <c r="N2" s="25"/>
      <c r="O2" s="25"/>
    </row>
    <row r="3" spans="2:15" x14ac:dyDescent="0.3">
      <c r="B3" s="26" t="s">
        <v>41</v>
      </c>
      <c r="C3" s="27"/>
      <c r="D3" s="27"/>
      <c r="E3" s="27"/>
      <c r="F3" s="27"/>
      <c r="G3" s="27"/>
      <c r="J3" s="26" t="s">
        <v>41</v>
      </c>
      <c r="K3" s="27"/>
      <c r="L3" s="27"/>
      <c r="M3" s="27"/>
      <c r="N3" s="27"/>
      <c r="O3" s="27"/>
    </row>
    <row r="4" spans="2:15" x14ac:dyDescent="0.3">
      <c r="B4" s="27"/>
      <c r="C4" s="27"/>
      <c r="D4" s="27"/>
      <c r="E4" s="27"/>
      <c r="F4" s="27"/>
      <c r="G4" s="27"/>
      <c r="J4" s="27"/>
      <c r="K4" s="27"/>
      <c r="L4" s="27"/>
      <c r="M4" s="27"/>
      <c r="N4" s="27"/>
      <c r="O4" s="27"/>
    </row>
    <row r="5" spans="2:15" x14ac:dyDescent="0.3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J5" s="28" t="s">
        <v>8</v>
      </c>
      <c r="K5" s="28"/>
      <c r="L5" s="28"/>
      <c r="M5" s="28"/>
      <c r="N5" s="28"/>
      <c r="O5" s="28"/>
    </row>
    <row r="6" spans="2:15" x14ac:dyDescent="0.3">
      <c r="B6" s="2">
        <v>1</v>
      </c>
      <c r="C6" s="2"/>
      <c r="D6" s="2"/>
      <c r="E6" s="5"/>
      <c r="F6" s="5"/>
      <c r="G6" s="5">
        <f>F6-E6</f>
        <v>0</v>
      </c>
      <c r="J6" s="4" t="s">
        <v>11</v>
      </c>
      <c r="K6" s="23">
        <f>SUM(G6:G15)</f>
        <v>0</v>
      </c>
      <c r="L6" s="24"/>
      <c r="M6" s="24"/>
      <c r="N6" s="24"/>
      <c r="O6" s="24"/>
    </row>
    <row r="7" spans="2:15" x14ac:dyDescent="0.3">
      <c r="B7" s="2">
        <v>2</v>
      </c>
      <c r="C7" s="2"/>
      <c r="D7" s="2"/>
      <c r="E7" s="5"/>
      <c r="F7" s="5"/>
      <c r="G7" s="5">
        <f t="shared" ref="G7:G15" si="0">F7-E7</f>
        <v>0</v>
      </c>
    </row>
    <row r="8" spans="2:15" x14ac:dyDescent="0.3">
      <c r="B8" s="2">
        <v>3</v>
      </c>
      <c r="C8" s="2"/>
      <c r="D8" s="2"/>
      <c r="E8" s="5"/>
      <c r="F8" s="5"/>
      <c r="G8" s="5">
        <f t="shared" si="0"/>
        <v>0</v>
      </c>
    </row>
    <row r="9" spans="2:15" x14ac:dyDescent="0.3">
      <c r="B9" s="2">
        <v>4</v>
      </c>
      <c r="C9" s="2"/>
      <c r="D9" s="2"/>
      <c r="E9" s="5"/>
      <c r="F9" s="5"/>
      <c r="G9" s="5">
        <f t="shared" si="0"/>
        <v>0</v>
      </c>
    </row>
    <row r="10" spans="2:15" x14ac:dyDescent="0.3">
      <c r="B10" s="2">
        <v>5</v>
      </c>
      <c r="C10" s="2"/>
      <c r="D10" s="2"/>
      <c r="E10" s="5"/>
      <c r="F10" s="5"/>
      <c r="G10" s="5">
        <f t="shared" si="0"/>
        <v>0</v>
      </c>
    </row>
    <row r="11" spans="2:15" x14ac:dyDescent="0.3">
      <c r="B11" s="2">
        <v>6</v>
      </c>
      <c r="C11" s="2"/>
      <c r="D11" s="2"/>
      <c r="E11" s="5"/>
      <c r="F11" s="5"/>
      <c r="G11" s="5">
        <f t="shared" si="0"/>
        <v>0</v>
      </c>
    </row>
    <row r="12" spans="2:15" x14ac:dyDescent="0.3">
      <c r="B12" s="2">
        <v>7</v>
      </c>
      <c r="C12" s="2"/>
      <c r="D12" s="2"/>
      <c r="E12" s="5"/>
      <c r="F12" s="5"/>
      <c r="G12" s="5">
        <f t="shared" si="0"/>
        <v>0</v>
      </c>
    </row>
    <row r="13" spans="2:15" x14ac:dyDescent="0.3">
      <c r="B13" s="2">
        <v>8</v>
      </c>
      <c r="C13" s="3"/>
      <c r="D13" s="3"/>
      <c r="E13" s="6"/>
      <c r="F13" s="6"/>
      <c r="G13" s="5">
        <f t="shared" si="0"/>
        <v>0</v>
      </c>
    </row>
    <row r="14" spans="2:15" x14ac:dyDescent="0.3">
      <c r="B14" s="2">
        <v>9</v>
      </c>
      <c r="C14" s="3"/>
      <c r="D14" s="3"/>
      <c r="E14" s="6"/>
      <c r="F14" s="6"/>
      <c r="G14" s="5">
        <f t="shared" si="0"/>
        <v>0</v>
      </c>
    </row>
    <row r="15" spans="2:15" x14ac:dyDescent="0.3">
      <c r="B15" s="2">
        <v>10</v>
      </c>
      <c r="C15" s="3"/>
      <c r="D15" s="3"/>
      <c r="E15" s="6"/>
      <c r="F15" s="6"/>
      <c r="G15" s="5">
        <f t="shared" si="0"/>
        <v>0</v>
      </c>
    </row>
  </sheetData>
  <mergeCells count="6">
    <mergeCell ref="B2:G2"/>
    <mergeCell ref="J2:O2"/>
    <mergeCell ref="B3:G4"/>
    <mergeCell ref="J3:O4"/>
    <mergeCell ref="J5:O5"/>
    <mergeCell ref="K6:O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7A4CA-ED8E-494A-84C1-89B87B7F7028}">
  <dimension ref="B2:G13"/>
  <sheetViews>
    <sheetView tabSelected="1" workbookViewId="0">
      <selection activeCell="C12" sqref="C12:G12"/>
    </sheetView>
  </sheetViews>
  <sheetFormatPr defaultRowHeight="14.4" x14ac:dyDescent="0.3"/>
  <cols>
    <col min="3" max="7" width="8.88671875" customWidth="1"/>
  </cols>
  <sheetData>
    <row r="2" spans="2:7" x14ac:dyDescent="0.3">
      <c r="B2" s="25" t="s">
        <v>0</v>
      </c>
      <c r="C2" s="25"/>
      <c r="D2" s="25"/>
      <c r="E2" s="25"/>
      <c r="F2" s="25"/>
      <c r="G2" s="25"/>
    </row>
    <row r="3" spans="2:7" x14ac:dyDescent="0.3">
      <c r="B3" s="26" t="s">
        <v>26</v>
      </c>
      <c r="C3" s="27"/>
      <c r="D3" s="27"/>
      <c r="E3" s="27"/>
      <c r="F3" s="27"/>
      <c r="G3" s="27"/>
    </row>
    <row r="4" spans="2:7" x14ac:dyDescent="0.3">
      <c r="B4" s="27"/>
      <c r="C4" s="27"/>
      <c r="D4" s="27"/>
      <c r="E4" s="27"/>
      <c r="F4" s="27"/>
      <c r="G4" s="27"/>
    </row>
    <row r="5" spans="2:7" x14ac:dyDescent="0.3">
      <c r="B5" s="29" t="s">
        <v>8</v>
      </c>
      <c r="C5" s="28"/>
      <c r="D5" s="28"/>
      <c r="E5" s="28"/>
      <c r="F5" s="28"/>
      <c r="G5" s="28"/>
    </row>
    <row r="6" spans="2:7" x14ac:dyDescent="0.3">
      <c r="B6" s="3" t="s">
        <v>42</v>
      </c>
      <c r="C6" s="30" t="s">
        <v>43</v>
      </c>
      <c r="D6" s="30"/>
      <c r="E6" s="30"/>
      <c r="F6" s="30"/>
      <c r="G6" s="30"/>
    </row>
    <row r="7" spans="2:7" x14ac:dyDescent="0.3">
      <c r="B7" s="10">
        <v>1</v>
      </c>
      <c r="C7" s="31">
        <v>0.125</v>
      </c>
      <c r="D7" s="32"/>
      <c r="E7" s="32"/>
      <c r="F7" s="32"/>
      <c r="G7" s="33"/>
    </row>
    <row r="8" spans="2:7" x14ac:dyDescent="0.3">
      <c r="B8" s="10">
        <v>2</v>
      </c>
      <c r="C8" s="34">
        <v>0.12152777777777778</v>
      </c>
      <c r="D8" s="35"/>
      <c r="E8" s="35"/>
      <c r="F8" s="35"/>
      <c r="G8" s="36"/>
    </row>
    <row r="9" spans="2:7" x14ac:dyDescent="0.3">
      <c r="B9" s="10">
        <v>3</v>
      </c>
      <c r="C9" s="34">
        <v>0.13541666666666666</v>
      </c>
      <c r="D9" s="35"/>
      <c r="E9" s="35"/>
      <c r="F9" s="35"/>
      <c r="G9" s="36"/>
    </row>
    <row r="10" spans="2:7" x14ac:dyDescent="0.3">
      <c r="B10" s="10">
        <v>4</v>
      </c>
      <c r="C10" s="34">
        <v>0.13541666666666666</v>
      </c>
      <c r="D10" s="35"/>
      <c r="E10" s="35"/>
      <c r="F10" s="35"/>
      <c r="G10" s="36"/>
    </row>
    <row r="11" spans="2:7" x14ac:dyDescent="0.3">
      <c r="B11" s="10">
        <v>5</v>
      </c>
      <c r="C11" s="34">
        <v>9.7222222222222224E-2</v>
      </c>
      <c r="D11" s="35"/>
      <c r="E11" s="35"/>
      <c r="F11" s="35"/>
      <c r="G11" s="36"/>
    </row>
    <row r="12" spans="2:7" x14ac:dyDescent="0.3">
      <c r="B12" s="10">
        <v>6</v>
      </c>
      <c r="C12" s="34"/>
      <c r="D12" s="35"/>
      <c r="E12" s="35"/>
      <c r="F12" s="35"/>
      <c r="G12" s="36"/>
    </row>
    <row r="13" spans="2:7" x14ac:dyDescent="0.3">
      <c r="B13" s="4" t="s">
        <v>11</v>
      </c>
      <c r="C13" s="23">
        <f>SUM(C7:G12)</f>
        <v>0.61458333333333326</v>
      </c>
      <c r="D13" s="23"/>
      <c r="E13" s="23"/>
      <c r="F13" s="23"/>
      <c r="G13" s="23"/>
    </row>
  </sheetData>
  <mergeCells count="11">
    <mergeCell ref="B2:G2"/>
    <mergeCell ref="B3:G4"/>
    <mergeCell ref="B5:G5"/>
    <mergeCell ref="C6:G6"/>
    <mergeCell ref="C13:G13"/>
    <mergeCell ref="C7:G7"/>
    <mergeCell ref="C8:G8"/>
    <mergeCell ref="C9:G9"/>
    <mergeCell ref="C10:G10"/>
    <mergeCell ref="C11:G11"/>
    <mergeCell ref="C12:G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03.02.26</vt:lpstr>
      <vt:lpstr>10.02.26</vt:lpstr>
      <vt:lpstr>03.03.26</vt:lpstr>
      <vt:lpstr>10.03.26</vt:lpstr>
      <vt:lpstr>17.03.26</vt:lpstr>
      <vt:lpstr>24.03.2026</vt:lpstr>
      <vt:lpstr>Podsumowanie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5c</dc:creator>
  <cp:keywords/>
  <dc:description/>
  <cp:lastModifiedBy>5c</cp:lastModifiedBy>
  <cp:revision/>
  <dcterms:created xsi:type="dcterms:W3CDTF">2026-02-03T07:24:10Z</dcterms:created>
  <dcterms:modified xsi:type="dcterms:W3CDTF">2026-03-24T06:28:46Z</dcterms:modified>
  <cp:category/>
  <cp:contentStatus/>
</cp:coreProperties>
</file>